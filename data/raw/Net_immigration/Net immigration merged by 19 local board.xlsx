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0708\Final project\Raw download data\Net_immigration\"/>
    </mc:Choice>
  </mc:AlternateContent>
  <xr:revisionPtr revIDLastSave="0" documentId="13_ncr:1_{50FB8CF8-BEEF-439B-AB75-BB9ADEDEF23A}" xr6:coauthVersionLast="47" xr6:coauthVersionMax="47" xr10:uidLastSave="{00000000-0000-0000-0000-000000000000}"/>
  <bookViews>
    <workbookView xWindow="-110" yWindow="-110" windowWidth="19420" windowHeight="10300" xr2:uid="{51872A70-B5A7-42EB-B11B-4C677F958C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19" i="1"/>
  <c r="E15" i="1"/>
  <c r="E9" i="1"/>
  <c r="E7" i="1"/>
  <c r="E3" i="1"/>
  <c r="E2" i="1"/>
  <c r="E153" i="1"/>
  <c r="E152" i="1"/>
  <c r="E148" i="1"/>
  <c r="E142" i="1"/>
  <c r="E140" i="1"/>
  <c r="E136" i="1"/>
  <c r="E135" i="1"/>
  <c r="E129" i="1"/>
  <c r="E123" i="1"/>
  <c r="E47" i="1"/>
  <c r="E28" i="1"/>
  <c r="E134" i="1"/>
  <c r="E133" i="1"/>
  <c r="E121" i="1"/>
  <c r="E117" i="1"/>
  <c r="E116" i="1"/>
  <c r="E115" i="1"/>
  <c r="E114" i="1"/>
  <c r="E110" i="1"/>
  <c r="E104" i="1"/>
  <c r="E102" i="1"/>
  <c r="E98" i="1"/>
  <c r="E97" i="1"/>
  <c r="E96" i="1"/>
  <c r="E95" i="1"/>
  <c r="E91" i="1"/>
  <c r="E85" i="1"/>
  <c r="E83" i="1"/>
  <c r="E79" i="1"/>
  <c r="E78" i="1"/>
  <c r="E72" i="1"/>
  <c r="E53" i="1"/>
  <c r="E34" i="1"/>
  <c r="E77" i="1"/>
  <c r="E76" i="1"/>
  <c r="E66" i="1"/>
  <c r="E64" i="1"/>
  <c r="E60" i="1"/>
  <c r="E59" i="1"/>
  <c r="E58" i="1"/>
  <c r="E57" i="1"/>
  <c r="E45" i="1"/>
  <c r="E41" i="1"/>
  <c r="E40" i="1"/>
  <c r="E39" i="1"/>
  <c r="E38" i="1"/>
  <c r="E26" i="1"/>
  <c r="E22" i="1"/>
  <c r="E21" i="1"/>
</calcChain>
</file>

<file path=xl/sharedStrings.xml><?xml version="1.0" encoding="utf-8"?>
<sst xmlns="http://schemas.openxmlformats.org/spreadsheetml/2006/main" count="214" uniqueCount="32">
  <si>
    <t>Rodney local board area</t>
  </si>
  <si>
    <t>year</t>
  </si>
  <si>
    <t>net immigration</t>
  </si>
  <si>
    <t>Hibiscus and Bays local board area</t>
  </si>
  <si>
    <t>Upper Harbour local board area</t>
  </si>
  <si>
    <t>Kaipātiki local board area</t>
  </si>
  <si>
    <t>Devonport-Takapuna local board area</t>
  </si>
  <si>
    <t>Rodney District</t>
  </si>
  <si>
    <t>North Shore City</t>
  </si>
  <si>
    <t>Henderson-Massey local board area</t>
  </si>
  <si>
    <t>Waitākere Ranges local board area</t>
  </si>
  <si>
    <t>Whau local board area</t>
  </si>
  <si>
    <t>Waitakere City</t>
  </si>
  <si>
    <t>Waitematā local board area</t>
  </si>
  <si>
    <t>Albert-Eden local board area</t>
  </si>
  <si>
    <t>Puketāpapa local board area</t>
  </si>
  <si>
    <t>Ōrākei local board area</t>
  </si>
  <si>
    <t>Maungakiekie-Tamaki local board area</t>
  </si>
  <si>
    <t>Auckland City</t>
  </si>
  <si>
    <t>Howick local board area</t>
  </si>
  <si>
    <t>Māngere-Ōtāhuhu local board area</t>
  </si>
  <si>
    <t>Ōtara-Papatoetoe local board area</t>
  </si>
  <si>
    <t>Manukau City</t>
  </si>
  <si>
    <t>Papakura local board area</t>
  </si>
  <si>
    <t>Franklin local board area</t>
  </si>
  <si>
    <t>Papakura District</t>
  </si>
  <si>
    <t>Franklin District</t>
  </si>
  <si>
    <t>total</t>
  </si>
  <si>
    <t>Local board</t>
  </si>
  <si>
    <t>Area</t>
  </si>
  <si>
    <t>Manurewa local board area</t>
  </si>
  <si>
    <t>https://www.stats.govt.nz/search/?Search=Subnational+population+estimates%3A+At+30+June+2025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</si>
</sst>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>
    <font>
      <sz val="11"/>
      <color theme="1"/>
      <name val="Aptos Narrow"/>
      <family val="2"/>
      <scheme val="minor"/>
    </font>
    <font>
      <sz val="8"/>
      <name val="Arial Mäori"/>
      <family val="2"/>
    </font>
    <font>
      <sz val="9"/>
      <name val="Arial Mäori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1" fillId="2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0" fillId="3" borderId="0" xfId="0" applyFill="1" applyAlignment="1">
      <alignment vertical="center"/>
    </xf>
    <xf numFmtId="0" fontId="0" fillId="3" borderId="0" xfId="0" applyFill="1"/>
    <xf numFmtId="0" fontId="3" fillId="0" borderId="0" xfId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right"/>
    </xf>
    <xf numFmtId="0" fontId="5" fillId="0" borderId="0" xfId="2" applyNumberFormat="1" applyFont="1" applyBorder="1" applyAlignment="1" applyProtection="1">
      <alignment horizontal="right"/>
    </xf>
    <xf numFmtId="0" fontId="2" fillId="0" borderId="0" xfId="0" applyNumberFormat="1" applyFont="1" applyAlignment="1">
      <alignment horizontal="right"/>
    </xf>
    <xf numFmtId="0" fontId="0" fillId="0" borderId="0" xfId="0" applyNumberFormat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tats.govt.nz/search/?Search=Subnational+population+estimates%3A+At+30+June+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62FE9-FE7E-42DF-B301-F38355322F2D}">
  <dimension ref="A1:E155"/>
  <sheetViews>
    <sheetView tabSelected="1" topLeftCell="A13" workbookViewId="0">
      <selection activeCell="E7" sqref="E7"/>
    </sheetView>
  </sheetViews>
  <sheetFormatPr defaultRowHeight="14.5"/>
  <cols>
    <col min="1" max="1" width="17.90625" style="2" customWidth="1"/>
    <col min="2" max="2" width="27.90625" customWidth="1"/>
    <col min="4" max="4" width="14.90625" style="11" customWidth="1"/>
    <col min="5" max="5" width="8.7265625" style="14"/>
  </cols>
  <sheetData>
    <row r="1" spans="1:5">
      <c r="A1" s="2" t="s">
        <v>29</v>
      </c>
      <c r="B1" t="s">
        <v>28</v>
      </c>
      <c r="C1" t="s">
        <v>1</v>
      </c>
      <c r="D1" s="11" t="s">
        <v>2</v>
      </c>
      <c r="E1" s="14" t="s">
        <v>27</v>
      </c>
    </row>
    <row r="2" spans="1:5">
      <c r="A2" s="2" t="s">
        <v>7</v>
      </c>
      <c r="B2" t="s">
        <v>0</v>
      </c>
      <c r="C2">
        <v>2018</v>
      </c>
      <c r="D2" s="12">
        <v>2000</v>
      </c>
      <c r="E2" s="14">
        <f>D2</f>
        <v>2000</v>
      </c>
    </row>
    <row r="3" spans="1:5">
      <c r="A3" s="10" t="s">
        <v>8</v>
      </c>
      <c r="B3" s="3" t="s">
        <v>3</v>
      </c>
      <c r="C3">
        <v>2018</v>
      </c>
      <c r="D3" s="12">
        <v>2600</v>
      </c>
      <c r="E3" s="14">
        <f>SUM(D3:D6)</f>
        <v>6700</v>
      </c>
    </row>
    <row r="4" spans="1:5">
      <c r="A4" s="10"/>
      <c r="B4" s="3" t="s">
        <v>4</v>
      </c>
      <c r="C4">
        <v>2018</v>
      </c>
      <c r="D4" s="12">
        <v>2300</v>
      </c>
    </row>
    <row r="5" spans="1:5">
      <c r="A5" s="10"/>
      <c r="B5" s="3" t="s">
        <v>5</v>
      </c>
      <c r="C5">
        <v>2018</v>
      </c>
      <c r="D5" s="12">
        <v>1300</v>
      </c>
    </row>
    <row r="6" spans="1:5">
      <c r="A6" s="10"/>
      <c r="B6" s="3" t="s">
        <v>6</v>
      </c>
      <c r="C6">
        <v>2018</v>
      </c>
      <c r="D6" s="12">
        <v>500</v>
      </c>
    </row>
    <row r="7" spans="1:5">
      <c r="A7" s="10" t="s">
        <v>12</v>
      </c>
      <c r="B7" s="4" t="s">
        <v>9</v>
      </c>
      <c r="C7">
        <v>2018</v>
      </c>
      <c r="D7" s="12">
        <v>600</v>
      </c>
      <c r="E7" s="14">
        <f>SUM(D7:D8)</f>
        <v>800</v>
      </c>
    </row>
    <row r="8" spans="1:5">
      <c r="A8" s="10"/>
      <c r="B8" s="4" t="s">
        <v>10</v>
      </c>
      <c r="C8">
        <v>2018</v>
      </c>
      <c r="D8" s="12">
        <v>200</v>
      </c>
    </row>
    <row r="9" spans="1:5">
      <c r="A9" s="10" t="s">
        <v>18</v>
      </c>
      <c r="B9" s="5" t="s">
        <v>13</v>
      </c>
      <c r="C9">
        <v>2018</v>
      </c>
      <c r="D9" s="12">
        <v>4900</v>
      </c>
      <c r="E9" s="14">
        <f>SUM(D9:D14)</f>
        <v>10400</v>
      </c>
    </row>
    <row r="10" spans="1:5">
      <c r="A10" s="10"/>
      <c r="B10" s="5" t="s">
        <v>11</v>
      </c>
      <c r="C10">
        <v>2018</v>
      </c>
      <c r="D10" s="12">
        <v>800</v>
      </c>
    </row>
    <row r="11" spans="1:5">
      <c r="A11" s="10"/>
      <c r="B11" s="5" t="s">
        <v>14</v>
      </c>
      <c r="C11">
        <v>2018</v>
      </c>
      <c r="D11" s="12">
        <v>2100</v>
      </c>
    </row>
    <row r="12" spans="1:5">
      <c r="A12" s="10"/>
      <c r="B12" s="5" t="s">
        <v>15</v>
      </c>
      <c r="C12">
        <v>2018</v>
      </c>
      <c r="D12" s="12">
        <v>600</v>
      </c>
    </row>
    <row r="13" spans="1:5">
      <c r="A13" s="10"/>
      <c r="B13" s="5" t="s">
        <v>16</v>
      </c>
      <c r="C13">
        <v>2018</v>
      </c>
      <c r="D13" s="12">
        <v>1200</v>
      </c>
    </row>
    <row r="14" spans="1:5">
      <c r="A14" s="10"/>
      <c r="B14" s="5" t="s">
        <v>17</v>
      </c>
      <c r="C14">
        <v>2018</v>
      </c>
      <c r="D14" s="12">
        <v>800</v>
      </c>
    </row>
    <row r="15" spans="1:5">
      <c r="A15" s="10" t="s">
        <v>22</v>
      </c>
      <c r="B15" s="6" t="s">
        <v>19</v>
      </c>
      <c r="C15">
        <v>2018</v>
      </c>
      <c r="D15" s="12">
        <v>2200</v>
      </c>
      <c r="E15" s="14">
        <f>SUM(D15:D18)</f>
        <v>2700</v>
      </c>
    </row>
    <row r="16" spans="1:5">
      <c r="A16" s="10"/>
      <c r="B16" s="6" t="s">
        <v>20</v>
      </c>
      <c r="C16">
        <v>2018</v>
      </c>
      <c r="D16" s="12">
        <v>-500</v>
      </c>
    </row>
    <row r="17" spans="1:5">
      <c r="A17" s="10"/>
      <c r="B17" s="6" t="s">
        <v>21</v>
      </c>
      <c r="C17">
        <v>2018</v>
      </c>
      <c r="D17" s="12">
        <v>600</v>
      </c>
    </row>
    <row r="18" spans="1:5">
      <c r="A18" s="10"/>
      <c r="B18" s="6" t="s">
        <v>30</v>
      </c>
      <c r="C18">
        <v>2018</v>
      </c>
      <c r="D18" s="12">
        <v>400</v>
      </c>
    </row>
    <row r="19" spans="1:5">
      <c r="A19" s="2" t="s">
        <v>25</v>
      </c>
      <c r="B19" s="1" t="s">
        <v>23</v>
      </c>
      <c r="C19">
        <v>2018</v>
      </c>
      <c r="D19" s="12">
        <v>1500</v>
      </c>
      <c r="E19" s="14">
        <f>D19</f>
        <v>1500</v>
      </c>
    </row>
    <row r="20" spans="1:5">
      <c r="A20" s="7" t="s">
        <v>26</v>
      </c>
      <c r="B20" s="8" t="s">
        <v>24</v>
      </c>
      <c r="C20">
        <v>2018</v>
      </c>
      <c r="D20" s="12">
        <v>1400</v>
      </c>
      <c r="E20" s="14">
        <f>D20</f>
        <v>1400</v>
      </c>
    </row>
    <row r="21" spans="1:5">
      <c r="A21" s="2" t="s">
        <v>7</v>
      </c>
      <c r="B21" t="s">
        <v>0</v>
      </c>
      <c r="C21">
        <v>2019</v>
      </c>
      <c r="D21" s="11">
        <v>1700</v>
      </c>
      <c r="E21" s="14">
        <f>D21</f>
        <v>1700</v>
      </c>
    </row>
    <row r="22" spans="1:5">
      <c r="A22" s="10" t="s">
        <v>8</v>
      </c>
      <c r="B22" s="3" t="s">
        <v>3</v>
      </c>
      <c r="C22">
        <v>2019</v>
      </c>
      <c r="D22" s="11">
        <v>2000</v>
      </c>
      <c r="E22" s="14">
        <f>SUM(D22:D25)</f>
        <v>2860</v>
      </c>
    </row>
    <row r="23" spans="1:5">
      <c r="A23" s="10"/>
      <c r="B23" s="3" t="s">
        <v>4</v>
      </c>
      <c r="C23">
        <v>2019</v>
      </c>
      <c r="D23" s="11">
        <v>1400</v>
      </c>
    </row>
    <row r="24" spans="1:5">
      <c r="A24" s="10"/>
      <c r="B24" s="3" t="s">
        <v>5</v>
      </c>
      <c r="C24">
        <v>2019</v>
      </c>
      <c r="D24" s="11">
        <v>-390</v>
      </c>
    </row>
    <row r="25" spans="1:5">
      <c r="A25" s="10"/>
      <c r="B25" s="3" t="s">
        <v>6</v>
      </c>
      <c r="C25">
        <v>2019</v>
      </c>
      <c r="D25" s="11">
        <v>-150</v>
      </c>
    </row>
    <row r="26" spans="1:5">
      <c r="A26" s="10" t="s">
        <v>12</v>
      </c>
      <c r="B26" s="4" t="s">
        <v>9</v>
      </c>
      <c r="C26">
        <v>2019</v>
      </c>
      <c r="D26" s="11">
        <v>700</v>
      </c>
      <c r="E26" s="14">
        <f>SUM(D26:D27)</f>
        <v>560</v>
      </c>
    </row>
    <row r="27" spans="1:5">
      <c r="A27" s="10"/>
      <c r="B27" s="4" t="s">
        <v>10</v>
      </c>
      <c r="C27">
        <v>2019</v>
      </c>
      <c r="D27" s="11">
        <v>-140</v>
      </c>
    </row>
    <row r="28" spans="1:5">
      <c r="A28" s="10" t="s">
        <v>18</v>
      </c>
      <c r="B28" s="5" t="s">
        <v>13</v>
      </c>
      <c r="C28">
        <v>2019</v>
      </c>
      <c r="D28" s="13">
        <v>1800</v>
      </c>
      <c r="E28" s="14">
        <f>SUM(D28:D33)</f>
        <v>2620</v>
      </c>
    </row>
    <row r="29" spans="1:5">
      <c r="A29" s="10"/>
      <c r="B29" s="5" t="s">
        <v>11</v>
      </c>
      <c r="C29">
        <v>2019</v>
      </c>
      <c r="D29" s="13">
        <v>430</v>
      </c>
    </row>
    <row r="30" spans="1:5">
      <c r="A30" s="10"/>
      <c r="B30" s="5" t="s">
        <v>14</v>
      </c>
      <c r="C30">
        <v>2019</v>
      </c>
      <c r="D30" s="11">
        <v>-380</v>
      </c>
    </row>
    <row r="31" spans="1:5">
      <c r="A31" s="10"/>
      <c r="B31" s="5" t="s">
        <v>15</v>
      </c>
      <c r="C31">
        <v>2019</v>
      </c>
      <c r="D31" s="11">
        <v>50</v>
      </c>
    </row>
    <row r="32" spans="1:5">
      <c r="A32" s="10"/>
      <c r="B32" s="5" t="s">
        <v>16</v>
      </c>
      <c r="C32">
        <v>2019</v>
      </c>
      <c r="D32" s="11">
        <v>-10</v>
      </c>
    </row>
    <row r="33" spans="1:5">
      <c r="A33" s="10"/>
      <c r="B33" s="5" t="s">
        <v>17</v>
      </c>
      <c r="C33">
        <v>2019</v>
      </c>
      <c r="D33" s="11">
        <v>730</v>
      </c>
    </row>
    <row r="34" spans="1:5">
      <c r="A34" s="10" t="s">
        <v>22</v>
      </c>
      <c r="B34" s="6" t="s">
        <v>19</v>
      </c>
      <c r="C34">
        <v>2019</v>
      </c>
      <c r="D34" s="11">
        <v>1300</v>
      </c>
      <c r="E34" s="14">
        <f>SUM(D34:D37)</f>
        <v>2940</v>
      </c>
    </row>
    <row r="35" spans="1:5">
      <c r="A35" s="10"/>
      <c r="B35" s="6" t="s">
        <v>20</v>
      </c>
      <c r="C35">
        <v>2019</v>
      </c>
      <c r="D35" s="11">
        <v>570</v>
      </c>
    </row>
    <row r="36" spans="1:5">
      <c r="A36" s="10"/>
      <c r="B36" s="6" t="s">
        <v>21</v>
      </c>
      <c r="C36">
        <v>2019</v>
      </c>
      <c r="D36" s="11">
        <v>310</v>
      </c>
    </row>
    <row r="37" spans="1:5">
      <c r="A37" s="10"/>
      <c r="B37" s="6" t="s">
        <v>30</v>
      </c>
      <c r="C37">
        <v>2019</v>
      </c>
      <c r="D37" s="11">
        <v>760</v>
      </c>
    </row>
    <row r="38" spans="1:5">
      <c r="A38" s="2" t="s">
        <v>25</v>
      </c>
      <c r="B38" s="1" t="s">
        <v>23</v>
      </c>
      <c r="C38">
        <v>2019</v>
      </c>
      <c r="D38" s="11">
        <v>1600</v>
      </c>
      <c r="E38" s="14">
        <f>D38</f>
        <v>1600</v>
      </c>
    </row>
    <row r="39" spans="1:5">
      <c r="A39" s="7" t="s">
        <v>26</v>
      </c>
      <c r="B39" s="8" t="s">
        <v>24</v>
      </c>
      <c r="C39">
        <v>2019</v>
      </c>
      <c r="D39" s="11">
        <v>1200</v>
      </c>
      <c r="E39" s="14">
        <f>D39</f>
        <v>1200</v>
      </c>
    </row>
    <row r="40" spans="1:5">
      <c r="A40" s="2" t="s">
        <v>7</v>
      </c>
      <c r="B40" t="s">
        <v>0</v>
      </c>
      <c r="C40">
        <v>2020</v>
      </c>
      <c r="D40" s="11">
        <v>2800</v>
      </c>
      <c r="E40" s="14">
        <f>D40</f>
        <v>2800</v>
      </c>
    </row>
    <row r="41" spans="1:5">
      <c r="A41" s="10" t="s">
        <v>8</v>
      </c>
      <c r="B41" s="3" t="s">
        <v>3</v>
      </c>
      <c r="C41">
        <v>2020</v>
      </c>
      <c r="D41" s="11">
        <v>2200</v>
      </c>
      <c r="E41" s="14">
        <f>SUM(D41:D44)</f>
        <v>3620</v>
      </c>
    </row>
    <row r="42" spans="1:5">
      <c r="A42" s="10"/>
      <c r="B42" s="3" t="s">
        <v>4</v>
      </c>
      <c r="C42">
        <v>2020</v>
      </c>
      <c r="D42" s="11">
        <v>1600</v>
      </c>
    </row>
    <row r="43" spans="1:5">
      <c r="A43" s="10"/>
      <c r="B43" s="3" t="s">
        <v>5</v>
      </c>
      <c r="C43">
        <v>2020</v>
      </c>
      <c r="D43" s="11">
        <v>-380</v>
      </c>
    </row>
    <row r="44" spans="1:5">
      <c r="A44" s="10"/>
      <c r="B44" s="3" t="s">
        <v>6</v>
      </c>
      <c r="C44">
        <v>2020</v>
      </c>
      <c r="D44" s="11">
        <v>200</v>
      </c>
    </row>
    <row r="45" spans="1:5">
      <c r="A45" s="10" t="s">
        <v>12</v>
      </c>
      <c r="B45" s="4" t="s">
        <v>9</v>
      </c>
      <c r="C45">
        <v>2020</v>
      </c>
      <c r="D45" s="11">
        <v>1100</v>
      </c>
      <c r="E45" s="14">
        <f>SUM(D45:D46)</f>
        <v>1620</v>
      </c>
    </row>
    <row r="46" spans="1:5">
      <c r="A46" s="10"/>
      <c r="B46" s="4" t="s">
        <v>10</v>
      </c>
      <c r="C46">
        <v>2020</v>
      </c>
      <c r="D46" s="11">
        <v>520</v>
      </c>
    </row>
    <row r="47" spans="1:5">
      <c r="A47" s="10" t="s">
        <v>18</v>
      </c>
      <c r="B47" s="5" t="s">
        <v>13</v>
      </c>
      <c r="C47">
        <v>2020</v>
      </c>
      <c r="D47" s="11">
        <v>1700</v>
      </c>
      <c r="E47" s="14">
        <f>SUM(D47:D52)</f>
        <v>4600</v>
      </c>
    </row>
    <row r="48" spans="1:5">
      <c r="A48" s="10"/>
      <c r="B48" s="5" t="s">
        <v>11</v>
      </c>
      <c r="C48">
        <v>2020</v>
      </c>
      <c r="D48" s="11">
        <v>260</v>
      </c>
    </row>
    <row r="49" spans="1:5">
      <c r="A49" s="10"/>
      <c r="B49" s="5" t="s">
        <v>14</v>
      </c>
      <c r="C49">
        <v>2020</v>
      </c>
      <c r="D49" s="11">
        <v>300</v>
      </c>
    </row>
    <row r="50" spans="1:5">
      <c r="A50" s="10"/>
      <c r="B50" s="5" t="s">
        <v>15</v>
      </c>
      <c r="C50">
        <v>2020</v>
      </c>
      <c r="D50" s="11">
        <v>580</v>
      </c>
    </row>
    <row r="51" spans="1:5">
      <c r="A51" s="10"/>
      <c r="B51" s="5" t="s">
        <v>16</v>
      </c>
      <c r="C51">
        <v>2020</v>
      </c>
      <c r="D51" s="11">
        <v>1400</v>
      </c>
    </row>
    <row r="52" spans="1:5">
      <c r="A52" s="10"/>
      <c r="B52" s="5" t="s">
        <v>17</v>
      </c>
      <c r="C52">
        <v>2020</v>
      </c>
      <c r="D52" s="11">
        <v>360</v>
      </c>
    </row>
    <row r="53" spans="1:5">
      <c r="A53" s="10" t="s">
        <v>22</v>
      </c>
      <c r="B53" s="6" t="s">
        <v>19</v>
      </c>
      <c r="C53">
        <v>2020</v>
      </c>
      <c r="D53" s="11">
        <v>2500</v>
      </c>
      <c r="E53" s="14">
        <f>SUM(D53:D56)</f>
        <v>5590</v>
      </c>
    </row>
    <row r="54" spans="1:5">
      <c r="A54" s="10"/>
      <c r="B54" s="6" t="s">
        <v>20</v>
      </c>
      <c r="C54">
        <v>2020</v>
      </c>
      <c r="D54" s="11">
        <v>890</v>
      </c>
    </row>
    <row r="55" spans="1:5">
      <c r="A55" s="10"/>
      <c r="B55" s="6" t="s">
        <v>21</v>
      </c>
      <c r="C55">
        <v>2020</v>
      </c>
      <c r="D55" s="11">
        <v>600</v>
      </c>
    </row>
    <row r="56" spans="1:5">
      <c r="A56" s="10"/>
      <c r="B56" s="6" t="s">
        <v>30</v>
      </c>
      <c r="C56">
        <v>2020</v>
      </c>
      <c r="D56" s="11">
        <v>1600</v>
      </c>
    </row>
    <row r="57" spans="1:5">
      <c r="A57" s="2" t="s">
        <v>25</v>
      </c>
      <c r="B57" s="1" t="s">
        <v>23</v>
      </c>
      <c r="C57">
        <v>2020</v>
      </c>
      <c r="D57" s="11">
        <v>2600</v>
      </c>
      <c r="E57" s="14">
        <f>D57</f>
        <v>2600</v>
      </c>
    </row>
    <row r="58" spans="1:5">
      <c r="A58" s="7" t="s">
        <v>26</v>
      </c>
      <c r="B58" s="8" t="s">
        <v>24</v>
      </c>
      <c r="C58">
        <v>2020</v>
      </c>
      <c r="D58" s="11">
        <v>1600</v>
      </c>
      <c r="E58" s="14">
        <f>D58</f>
        <v>1600</v>
      </c>
    </row>
    <row r="59" spans="1:5">
      <c r="A59" s="2" t="s">
        <v>7</v>
      </c>
      <c r="B59" t="s">
        <v>0</v>
      </c>
      <c r="C59">
        <v>2021</v>
      </c>
      <c r="D59" s="11">
        <v>1700</v>
      </c>
      <c r="E59" s="14">
        <f>D59</f>
        <v>1700</v>
      </c>
    </row>
    <row r="60" spans="1:5">
      <c r="A60" s="10" t="s">
        <v>8</v>
      </c>
      <c r="B60" s="3" t="s">
        <v>3</v>
      </c>
      <c r="C60">
        <v>2021</v>
      </c>
      <c r="D60" s="11">
        <v>450</v>
      </c>
      <c r="E60" s="14">
        <f>SUM(D60:D63)</f>
        <v>-3140</v>
      </c>
    </row>
    <row r="61" spans="1:5">
      <c r="A61" s="10"/>
      <c r="B61" s="3" t="s">
        <v>4</v>
      </c>
      <c r="C61">
        <v>2021</v>
      </c>
      <c r="D61" s="11">
        <v>110</v>
      </c>
    </row>
    <row r="62" spans="1:5">
      <c r="A62" s="10"/>
      <c r="B62" s="3" t="s">
        <v>5</v>
      </c>
      <c r="C62">
        <v>2021</v>
      </c>
      <c r="D62" s="11">
        <v>-2300</v>
      </c>
    </row>
    <row r="63" spans="1:5">
      <c r="A63" s="10"/>
      <c r="B63" s="3" t="s">
        <v>6</v>
      </c>
      <c r="C63">
        <v>2021</v>
      </c>
      <c r="D63" s="11">
        <v>-1400</v>
      </c>
    </row>
    <row r="64" spans="1:5">
      <c r="A64" s="10" t="s">
        <v>12</v>
      </c>
      <c r="B64" s="4" t="s">
        <v>9</v>
      </c>
      <c r="C64">
        <v>2021</v>
      </c>
      <c r="D64" s="11">
        <v>-780</v>
      </c>
      <c r="E64" s="14">
        <f>SUM(D64:D65)</f>
        <v>-1000</v>
      </c>
    </row>
    <row r="65" spans="1:5">
      <c r="A65" s="10"/>
      <c r="B65" s="4" t="s">
        <v>10</v>
      </c>
      <c r="C65">
        <v>2021</v>
      </c>
      <c r="D65" s="11">
        <v>-220</v>
      </c>
    </row>
    <row r="66" spans="1:5">
      <c r="A66" s="10" t="s">
        <v>18</v>
      </c>
      <c r="B66" s="5" t="s">
        <v>13</v>
      </c>
      <c r="C66">
        <v>2021</v>
      </c>
      <c r="D66" s="11">
        <v>-4300</v>
      </c>
      <c r="E66" s="14">
        <f>SUM(D66:D71)</f>
        <v>-11390</v>
      </c>
    </row>
    <row r="67" spans="1:5">
      <c r="A67" s="10"/>
      <c r="B67" s="5" t="s">
        <v>11</v>
      </c>
      <c r="D67" s="11">
        <v>-1400</v>
      </c>
    </row>
    <row r="68" spans="1:5">
      <c r="A68" s="10"/>
      <c r="B68" s="5" t="s">
        <v>14</v>
      </c>
      <c r="C68">
        <v>2021</v>
      </c>
      <c r="D68" s="11">
        <v>-2600</v>
      </c>
    </row>
    <row r="69" spans="1:5">
      <c r="A69" s="10"/>
      <c r="B69" s="5" t="s">
        <v>15</v>
      </c>
      <c r="C69">
        <v>2021</v>
      </c>
      <c r="D69" s="11">
        <v>-1200</v>
      </c>
    </row>
    <row r="70" spans="1:5">
      <c r="A70" s="10"/>
      <c r="B70" s="5" t="s">
        <v>16</v>
      </c>
      <c r="C70">
        <v>2021</v>
      </c>
      <c r="D70" s="11">
        <v>-990</v>
      </c>
    </row>
    <row r="71" spans="1:5">
      <c r="A71" s="10"/>
      <c r="B71" s="5" t="s">
        <v>17</v>
      </c>
      <c r="C71">
        <v>2021</v>
      </c>
      <c r="D71" s="11">
        <v>-900</v>
      </c>
    </row>
    <row r="72" spans="1:5">
      <c r="A72" s="10" t="s">
        <v>22</v>
      </c>
      <c r="B72" s="6" t="s">
        <v>19</v>
      </c>
      <c r="C72">
        <v>2021</v>
      </c>
      <c r="D72" s="11">
        <v>-1300</v>
      </c>
      <c r="E72" s="14">
        <f>SUM(D72:D75)</f>
        <v>-2780</v>
      </c>
    </row>
    <row r="73" spans="1:5">
      <c r="A73" s="10"/>
      <c r="B73" s="6" t="s">
        <v>20</v>
      </c>
      <c r="C73">
        <v>2021</v>
      </c>
      <c r="D73" s="11">
        <v>-350</v>
      </c>
    </row>
    <row r="74" spans="1:5">
      <c r="A74" s="10"/>
      <c r="B74" s="6" t="s">
        <v>21</v>
      </c>
      <c r="C74">
        <v>2021</v>
      </c>
      <c r="D74" s="11">
        <v>-1400</v>
      </c>
    </row>
    <row r="75" spans="1:5">
      <c r="A75" s="10"/>
      <c r="B75" s="6" t="s">
        <v>30</v>
      </c>
      <c r="C75">
        <v>2021</v>
      </c>
      <c r="D75" s="11">
        <v>270</v>
      </c>
    </row>
    <row r="76" spans="1:5">
      <c r="A76" s="2" t="s">
        <v>25</v>
      </c>
      <c r="B76" s="1" t="s">
        <v>23</v>
      </c>
      <c r="C76">
        <v>2021</v>
      </c>
      <c r="D76" s="11">
        <v>1500</v>
      </c>
      <c r="E76" s="14">
        <f>D76</f>
        <v>1500</v>
      </c>
    </row>
    <row r="77" spans="1:5">
      <c r="A77" s="7" t="s">
        <v>26</v>
      </c>
      <c r="B77" s="8" t="s">
        <v>24</v>
      </c>
      <c r="C77">
        <v>2021</v>
      </c>
      <c r="D77" s="11">
        <v>930</v>
      </c>
      <c r="E77" s="14">
        <f>D77</f>
        <v>930</v>
      </c>
    </row>
    <row r="78" spans="1:5">
      <c r="A78" s="2" t="s">
        <v>7</v>
      </c>
      <c r="B78" t="s">
        <v>0</v>
      </c>
      <c r="C78">
        <v>2022</v>
      </c>
      <c r="D78" s="11">
        <v>1500</v>
      </c>
      <c r="E78" s="14">
        <f>D78</f>
        <v>1500</v>
      </c>
    </row>
    <row r="79" spans="1:5">
      <c r="A79" s="10" t="s">
        <v>8</v>
      </c>
      <c r="B79" s="3" t="s">
        <v>3</v>
      </c>
      <c r="C79">
        <v>2022</v>
      </c>
      <c r="D79" s="11">
        <v>-470</v>
      </c>
      <c r="E79" s="14">
        <f>SUM(D79:D82)</f>
        <v>-5630</v>
      </c>
    </row>
    <row r="80" spans="1:5">
      <c r="A80" s="10"/>
      <c r="B80" s="3" t="s">
        <v>4</v>
      </c>
      <c r="C80">
        <v>2022</v>
      </c>
      <c r="D80" s="11">
        <v>-460</v>
      </c>
    </row>
    <row r="81" spans="1:5">
      <c r="A81" s="10"/>
      <c r="B81" s="3" t="s">
        <v>5</v>
      </c>
      <c r="C81">
        <v>2022</v>
      </c>
      <c r="D81" s="11">
        <v>-2800</v>
      </c>
    </row>
    <row r="82" spans="1:5">
      <c r="A82" s="10"/>
      <c r="B82" s="3" t="s">
        <v>6</v>
      </c>
      <c r="C82">
        <v>2022</v>
      </c>
      <c r="D82" s="11">
        <v>-1900</v>
      </c>
    </row>
    <row r="83" spans="1:5">
      <c r="A83" s="10" t="s">
        <v>12</v>
      </c>
      <c r="B83" s="4" t="s">
        <v>9</v>
      </c>
      <c r="C83">
        <v>2022</v>
      </c>
      <c r="D83" s="11">
        <v>-1400</v>
      </c>
      <c r="E83" s="14">
        <f>SUM(D83:D84)</f>
        <v>-2050</v>
      </c>
    </row>
    <row r="84" spans="1:5">
      <c r="A84" s="10"/>
      <c r="B84" s="4" t="s">
        <v>10</v>
      </c>
      <c r="C84">
        <v>2022</v>
      </c>
      <c r="D84" s="11">
        <v>-650</v>
      </c>
    </row>
    <row r="85" spans="1:5">
      <c r="A85" s="10" t="s">
        <v>18</v>
      </c>
      <c r="B85" s="5" t="s">
        <v>13</v>
      </c>
      <c r="C85">
        <v>2022</v>
      </c>
      <c r="D85" s="11">
        <v>-5500</v>
      </c>
      <c r="E85" s="14">
        <f>SUM(D85:D90)</f>
        <v>-15700</v>
      </c>
    </row>
    <row r="86" spans="1:5">
      <c r="A86" s="10"/>
      <c r="B86" s="5" t="s">
        <v>11</v>
      </c>
      <c r="C86">
        <v>2022</v>
      </c>
      <c r="D86" s="11">
        <v>-1500</v>
      </c>
    </row>
    <row r="87" spans="1:5">
      <c r="A87" s="10"/>
      <c r="B87" s="5" t="s">
        <v>14</v>
      </c>
      <c r="C87">
        <v>2022</v>
      </c>
      <c r="D87" s="11">
        <v>-3500</v>
      </c>
    </row>
    <row r="88" spans="1:5">
      <c r="A88" s="10"/>
      <c r="B88" s="5" t="s">
        <v>15</v>
      </c>
      <c r="C88">
        <v>2022</v>
      </c>
      <c r="D88" s="11">
        <v>-1500</v>
      </c>
    </row>
    <row r="89" spans="1:5">
      <c r="A89" s="10"/>
      <c r="B89" s="5" t="s">
        <v>16</v>
      </c>
      <c r="C89">
        <v>2022</v>
      </c>
      <c r="D89" s="11">
        <v>-2500</v>
      </c>
    </row>
    <row r="90" spans="1:5">
      <c r="A90" s="10"/>
      <c r="B90" s="5" t="s">
        <v>17</v>
      </c>
      <c r="C90">
        <v>2022</v>
      </c>
      <c r="D90" s="11">
        <v>-1200</v>
      </c>
    </row>
    <row r="91" spans="1:5">
      <c r="A91" s="10" t="s">
        <v>22</v>
      </c>
      <c r="B91" s="6" t="s">
        <v>19</v>
      </c>
      <c r="C91">
        <v>2022</v>
      </c>
      <c r="D91" s="11">
        <v>-2400</v>
      </c>
      <c r="E91" s="14">
        <f>SUM(D91:D94)</f>
        <v>-4040</v>
      </c>
    </row>
    <row r="92" spans="1:5">
      <c r="A92" s="10"/>
      <c r="B92" s="6" t="s">
        <v>20</v>
      </c>
      <c r="C92">
        <v>2022</v>
      </c>
      <c r="D92" s="11">
        <v>-460</v>
      </c>
    </row>
    <row r="93" spans="1:5">
      <c r="A93" s="10"/>
      <c r="B93" s="6" t="s">
        <v>21</v>
      </c>
      <c r="C93">
        <v>2022</v>
      </c>
      <c r="D93" s="11">
        <v>-920</v>
      </c>
    </row>
    <row r="94" spans="1:5">
      <c r="A94" s="10"/>
      <c r="B94" s="6" t="s">
        <v>30</v>
      </c>
      <c r="C94">
        <v>2022</v>
      </c>
      <c r="D94" s="11">
        <v>-260</v>
      </c>
    </row>
    <row r="95" spans="1:5">
      <c r="A95" s="2" t="s">
        <v>25</v>
      </c>
      <c r="B95" s="1" t="s">
        <v>23</v>
      </c>
      <c r="C95">
        <v>2022</v>
      </c>
      <c r="D95" s="11">
        <v>1600</v>
      </c>
      <c r="E95" s="14">
        <f>D95</f>
        <v>1600</v>
      </c>
    </row>
    <row r="96" spans="1:5">
      <c r="A96" s="7" t="s">
        <v>26</v>
      </c>
      <c r="B96" s="8" t="s">
        <v>24</v>
      </c>
      <c r="C96">
        <v>2022</v>
      </c>
      <c r="D96" s="11">
        <v>480</v>
      </c>
      <c r="E96" s="14">
        <f>D96</f>
        <v>480</v>
      </c>
    </row>
    <row r="97" spans="1:5">
      <c r="A97" s="2" t="s">
        <v>7</v>
      </c>
      <c r="B97" t="s">
        <v>0</v>
      </c>
      <c r="C97">
        <v>2023</v>
      </c>
      <c r="D97" s="11">
        <v>1900</v>
      </c>
      <c r="E97" s="14">
        <f>D97</f>
        <v>1900</v>
      </c>
    </row>
    <row r="98" spans="1:5">
      <c r="A98" s="10" t="s">
        <v>8</v>
      </c>
      <c r="B98" s="3" t="s">
        <v>3</v>
      </c>
      <c r="C98">
        <v>2023</v>
      </c>
      <c r="D98" s="11">
        <v>3100</v>
      </c>
      <c r="E98" s="14">
        <f>SUM(D98:D101)</f>
        <v>7680</v>
      </c>
    </row>
    <row r="99" spans="1:5">
      <c r="A99" s="10"/>
      <c r="B99" s="3" t="s">
        <v>4</v>
      </c>
      <c r="C99">
        <v>2023</v>
      </c>
      <c r="D99" s="11">
        <v>3000</v>
      </c>
    </row>
    <row r="100" spans="1:5">
      <c r="A100" s="10"/>
      <c r="B100" s="3" t="s">
        <v>5</v>
      </c>
      <c r="C100">
        <v>2023</v>
      </c>
      <c r="D100" s="11">
        <v>1200</v>
      </c>
    </row>
    <row r="101" spans="1:5">
      <c r="A101" s="10"/>
      <c r="B101" s="3" t="s">
        <v>6</v>
      </c>
      <c r="C101">
        <v>2023</v>
      </c>
      <c r="D101" s="11">
        <v>380</v>
      </c>
    </row>
    <row r="102" spans="1:5">
      <c r="A102" s="10" t="s">
        <v>12</v>
      </c>
      <c r="B102" s="4" t="s">
        <v>9</v>
      </c>
      <c r="C102">
        <v>2023</v>
      </c>
      <c r="D102" s="11">
        <v>1900</v>
      </c>
      <c r="E102" s="14">
        <f>SUM(D102:D103)</f>
        <v>1750</v>
      </c>
    </row>
    <row r="103" spans="1:5">
      <c r="A103" s="10"/>
      <c r="B103" s="4" t="s">
        <v>10</v>
      </c>
      <c r="C103">
        <v>2023</v>
      </c>
      <c r="D103" s="11">
        <v>-150</v>
      </c>
    </row>
    <row r="104" spans="1:5">
      <c r="A104" s="10" t="s">
        <v>18</v>
      </c>
      <c r="B104" s="5" t="s">
        <v>13</v>
      </c>
      <c r="C104">
        <v>2023</v>
      </c>
      <c r="D104" s="11">
        <v>3900</v>
      </c>
      <c r="E104" s="14">
        <f>SUM(D104:D109)</f>
        <v>9490</v>
      </c>
    </row>
    <row r="105" spans="1:5">
      <c r="A105" s="10"/>
      <c r="B105" s="5" t="s">
        <v>11</v>
      </c>
      <c r="C105">
        <v>2023</v>
      </c>
      <c r="D105" s="11">
        <v>1900</v>
      </c>
    </row>
    <row r="106" spans="1:5">
      <c r="A106" s="10"/>
      <c r="B106" s="5" t="s">
        <v>14</v>
      </c>
      <c r="C106">
        <v>2023</v>
      </c>
      <c r="D106" s="11">
        <v>800</v>
      </c>
    </row>
    <row r="107" spans="1:5">
      <c r="A107" s="10"/>
      <c r="B107" s="5" t="s">
        <v>15</v>
      </c>
      <c r="C107">
        <v>2023</v>
      </c>
      <c r="D107" s="11">
        <v>1400</v>
      </c>
    </row>
    <row r="108" spans="1:5">
      <c r="A108" s="10"/>
      <c r="B108" s="5" t="s">
        <v>16</v>
      </c>
      <c r="C108">
        <v>2023</v>
      </c>
      <c r="D108" s="11">
        <v>290</v>
      </c>
    </row>
    <row r="109" spans="1:5">
      <c r="A109" s="10"/>
      <c r="B109" s="5" t="s">
        <v>17</v>
      </c>
      <c r="C109">
        <v>2023</v>
      </c>
      <c r="D109" s="11">
        <v>1200</v>
      </c>
    </row>
    <row r="110" spans="1:5">
      <c r="A110" s="10" t="s">
        <v>22</v>
      </c>
      <c r="B110" s="6" t="s">
        <v>19</v>
      </c>
      <c r="C110">
        <v>2023</v>
      </c>
      <c r="D110" s="11">
        <v>5300</v>
      </c>
      <c r="E110" s="14">
        <f>SUM(D110:D113)</f>
        <v>11800</v>
      </c>
    </row>
    <row r="111" spans="1:5">
      <c r="A111" s="10"/>
      <c r="B111" s="6" t="s">
        <v>20</v>
      </c>
      <c r="C111">
        <v>2023</v>
      </c>
      <c r="D111" s="11">
        <v>1900</v>
      </c>
    </row>
    <row r="112" spans="1:5">
      <c r="A112" s="10"/>
      <c r="B112" s="6" t="s">
        <v>21</v>
      </c>
      <c r="C112">
        <v>2023</v>
      </c>
      <c r="D112" s="11">
        <v>2200</v>
      </c>
    </row>
    <row r="113" spans="1:5">
      <c r="A113" s="10"/>
      <c r="B113" s="6" t="s">
        <v>30</v>
      </c>
      <c r="C113">
        <v>2023</v>
      </c>
      <c r="D113" s="11">
        <v>2400</v>
      </c>
    </row>
    <row r="114" spans="1:5">
      <c r="A114" s="2" t="s">
        <v>25</v>
      </c>
      <c r="B114" s="1" t="s">
        <v>23</v>
      </c>
      <c r="C114">
        <v>2023</v>
      </c>
      <c r="D114" s="11">
        <v>2500</v>
      </c>
      <c r="E114" s="14">
        <f>D114</f>
        <v>2500</v>
      </c>
    </row>
    <row r="115" spans="1:5">
      <c r="A115" s="7" t="s">
        <v>26</v>
      </c>
      <c r="B115" s="8" t="s">
        <v>24</v>
      </c>
      <c r="C115">
        <v>2023</v>
      </c>
      <c r="D115" s="11">
        <v>1500</v>
      </c>
      <c r="E115" s="14">
        <f>D115</f>
        <v>1500</v>
      </c>
    </row>
    <row r="116" spans="1:5">
      <c r="A116" s="2" t="s">
        <v>7</v>
      </c>
      <c r="B116" t="s">
        <v>0</v>
      </c>
      <c r="C116">
        <v>2024</v>
      </c>
      <c r="D116" s="11">
        <v>1600</v>
      </c>
      <c r="E116" s="14">
        <f>D116</f>
        <v>1600</v>
      </c>
    </row>
    <row r="117" spans="1:5">
      <c r="A117" s="10" t="s">
        <v>8</v>
      </c>
      <c r="B117" s="3" t="s">
        <v>3</v>
      </c>
      <c r="C117">
        <v>2024</v>
      </c>
      <c r="D117" s="11">
        <v>1600</v>
      </c>
      <c r="E117" s="14">
        <f>SUM(D117:D120)</f>
        <v>5040</v>
      </c>
    </row>
    <row r="118" spans="1:5">
      <c r="A118" s="10"/>
      <c r="B118" s="3" t="s">
        <v>4</v>
      </c>
      <c r="C118">
        <v>2024</v>
      </c>
      <c r="D118" s="11">
        <v>1700</v>
      </c>
    </row>
    <row r="119" spans="1:5">
      <c r="A119" s="10"/>
      <c r="B119" s="3" t="s">
        <v>5</v>
      </c>
      <c r="C119">
        <v>2024</v>
      </c>
      <c r="D119" s="11">
        <v>1200</v>
      </c>
    </row>
    <row r="120" spans="1:5">
      <c r="A120" s="10"/>
      <c r="B120" s="3" t="s">
        <v>6</v>
      </c>
      <c r="C120">
        <v>2024</v>
      </c>
      <c r="D120" s="11">
        <v>540</v>
      </c>
    </row>
    <row r="121" spans="1:5">
      <c r="A121" s="10" t="s">
        <v>12</v>
      </c>
      <c r="B121" s="4" t="s">
        <v>9</v>
      </c>
      <c r="C121">
        <v>2024</v>
      </c>
      <c r="D121" s="11">
        <v>2900</v>
      </c>
      <c r="E121" s="14">
        <f>SUM(D121:D122)</f>
        <v>3120</v>
      </c>
    </row>
    <row r="122" spans="1:5">
      <c r="A122" s="10"/>
      <c r="B122" s="4" t="s">
        <v>10</v>
      </c>
      <c r="C122">
        <v>2024</v>
      </c>
      <c r="D122" s="11">
        <v>220</v>
      </c>
    </row>
    <row r="123" spans="1:5">
      <c r="A123" s="10" t="s">
        <v>18</v>
      </c>
      <c r="B123" s="5" t="s">
        <v>13</v>
      </c>
      <c r="C123">
        <v>2024</v>
      </c>
      <c r="D123" s="11">
        <v>1200</v>
      </c>
      <c r="E123" s="14">
        <f>SUM(D123:D128)</f>
        <v>8740</v>
      </c>
    </row>
    <row r="124" spans="1:5">
      <c r="A124" s="10"/>
      <c r="B124" s="5" t="s">
        <v>11</v>
      </c>
      <c r="C124">
        <v>2024</v>
      </c>
      <c r="D124" s="11">
        <v>2400</v>
      </c>
    </row>
    <row r="125" spans="1:5">
      <c r="A125" s="10"/>
      <c r="B125" s="5" t="s">
        <v>14</v>
      </c>
      <c r="C125">
        <v>2024</v>
      </c>
      <c r="D125" s="11">
        <v>1200</v>
      </c>
    </row>
    <row r="126" spans="1:5">
      <c r="A126" s="10"/>
      <c r="B126" s="5" t="s">
        <v>15</v>
      </c>
      <c r="C126">
        <v>2024</v>
      </c>
      <c r="D126" s="11">
        <v>1200</v>
      </c>
    </row>
    <row r="127" spans="1:5">
      <c r="A127" s="10"/>
      <c r="B127" s="5" t="s">
        <v>16</v>
      </c>
      <c r="C127">
        <v>2024</v>
      </c>
      <c r="D127" s="11">
        <v>140</v>
      </c>
    </row>
    <row r="128" spans="1:5">
      <c r="A128" s="10"/>
      <c r="B128" s="5" t="s">
        <v>17</v>
      </c>
      <c r="C128">
        <v>2024</v>
      </c>
      <c r="D128" s="11">
        <v>2600</v>
      </c>
    </row>
    <row r="129" spans="1:5">
      <c r="A129" s="10" t="s">
        <v>22</v>
      </c>
      <c r="B129" s="6" t="s">
        <v>19</v>
      </c>
      <c r="C129">
        <v>2024</v>
      </c>
      <c r="D129" s="11">
        <v>4400</v>
      </c>
      <c r="E129" s="14">
        <f>SUM(D129:D132)</f>
        <v>10000</v>
      </c>
    </row>
    <row r="130" spans="1:5">
      <c r="A130" s="10"/>
      <c r="B130" s="6" t="s">
        <v>20</v>
      </c>
      <c r="C130">
        <v>2024</v>
      </c>
      <c r="D130" s="11">
        <v>1200</v>
      </c>
    </row>
    <row r="131" spans="1:5">
      <c r="A131" s="10"/>
      <c r="B131" s="6" t="s">
        <v>21</v>
      </c>
      <c r="C131">
        <v>2024</v>
      </c>
      <c r="D131" s="11">
        <v>2300</v>
      </c>
    </row>
    <row r="132" spans="1:5">
      <c r="A132" s="10"/>
      <c r="B132" s="6" t="s">
        <v>30</v>
      </c>
      <c r="C132">
        <v>2024</v>
      </c>
      <c r="D132" s="11">
        <v>2100</v>
      </c>
    </row>
    <row r="133" spans="1:5">
      <c r="A133" s="2" t="s">
        <v>25</v>
      </c>
      <c r="B133" s="1" t="s">
        <v>23</v>
      </c>
      <c r="C133">
        <v>2024</v>
      </c>
      <c r="D133" s="11">
        <v>2700</v>
      </c>
      <c r="E133" s="14">
        <f>D133</f>
        <v>2700</v>
      </c>
    </row>
    <row r="134" spans="1:5">
      <c r="A134" s="7" t="s">
        <v>26</v>
      </c>
      <c r="B134" s="8" t="s">
        <v>24</v>
      </c>
      <c r="C134">
        <v>2024</v>
      </c>
      <c r="D134" s="11">
        <v>910</v>
      </c>
      <c r="E134" s="14">
        <f>D134</f>
        <v>910</v>
      </c>
    </row>
    <row r="135" spans="1:5">
      <c r="A135" s="2" t="s">
        <v>7</v>
      </c>
      <c r="B135" t="s">
        <v>0</v>
      </c>
      <c r="C135">
        <v>2025</v>
      </c>
      <c r="D135" s="11">
        <v>430</v>
      </c>
      <c r="E135" s="14">
        <f>D135</f>
        <v>430</v>
      </c>
    </row>
    <row r="136" spans="1:5">
      <c r="A136" s="10" t="s">
        <v>8</v>
      </c>
      <c r="B136" s="3" t="s">
        <v>3</v>
      </c>
      <c r="C136">
        <v>2025</v>
      </c>
      <c r="D136" s="11">
        <v>500</v>
      </c>
      <c r="E136" s="14">
        <f>SUM(D136:D139)</f>
        <v>1170</v>
      </c>
    </row>
    <row r="137" spans="1:5">
      <c r="A137" s="10"/>
      <c r="B137" s="3" t="s">
        <v>4</v>
      </c>
      <c r="C137">
        <v>2025</v>
      </c>
      <c r="D137" s="11">
        <v>590</v>
      </c>
    </row>
    <row r="138" spans="1:5">
      <c r="A138" s="10"/>
      <c r="B138" s="3" t="s">
        <v>5</v>
      </c>
      <c r="C138">
        <v>2025</v>
      </c>
      <c r="D138" s="11">
        <v>310</v>
      </c>
    </row>
    <row r="139" spans="1:5">
      <c r="A139" s="10"/>
      <c r="B139" s="3" t="s">
        <v>6</v>
      </c>
      <c r="C139">
        <v>2025</v>
      </c>
      <c r="D139" s="11">
        <v>-230</v>
      </c>
    </row>
    <row r="140" spans="1:5">
      <c r="A140" s="10" t="s">
        <v>12</v>
      </c>
      <c r="B140" s="4" t="s">
        <v>9</v>
      </c>
      <c r="C140">
        <v>2025</v>
      </c>
      <c r="D140" s="11">
        <v>1200</v>
      </c>
      <c r="E140" s="14">
        <f>SUM(D140:D141)</f>
        <v>960</v>
      </c>
    </row>
    <row r="141" spans="1:5">
      <c r="A141" s="10"/>
      <c r="B141" s="4" t="s">
        <v>10</v>
      </c>
      <c r="C141">
        <v>2025</v>
      </c>
      <c r="D141" s="11">
        <v>-240</v>
      </c>
    </row>
    <row r="142" spans="1:5">
      <c r="A142" s="10" t="s">
        <v>18</v>
      </c>
      <c r="B142" s="5" t="s">
        <v>13</v>
      </c>
      <c r="C142">
        <v>2025</v>
      </c>
      <c r="D142" s="11">
        <v>-580</v>
      </c>
      <c r="E142" s="14">
        <f>SUM(D142:D147)</f>
        <v>450</v>
      </c>
    </row>
    <row r="143" spans="1:5">
      <c r="A143" s="10"/>
      <c r="B143" s="5" t="s">
        <v>11</v>
      </c>
      <c r="C143">
        <v>2025</v>
      </c>
      <c r="D143" s="11">
        <v>730</v>
      </c>
    </row>
    <row r="144" spans="1:5">
      <c r="A144" s="10"/>
      <c r="B144" s="5" t="s">
        <v>14</v>
      </c>
      <c r="C144">
        <v>2025</v>
      </c>
      <c r="D144" s="11">
        <v>-290</v>
      </c>
    </row>
    <row r="145" spans="1:5">
      <c r="A145" s="10"/>
      <c r="B145" s="5" t="s">
        <v>15</v>
      </c>
      <c r="C145">
        <v>2025</v>
      </c>
      <c r="D145" s="11">
        <v>390</v>
      </c>
    </row>
    <row r="146" spans="1:5">
      <c r="A146" s="10"/>
      <c r="B146" s="5" t="s">
        <v>16</v>
      </c>
      <c r="C146">
        <v>2025</v>
      </c>
      <c r="D146" s="11">
        <v>-480</v>
      </c>
    </row>
    <row r="147" spans="1:5">
      <c r="A147" s="10"/>
      <c r="B147" s="5" t="s">
        <v>17</v>
      </c>
      <c r="C147">
        <v>2025</v>
      </c>
      <c r="D147" s="11">
        <v>680</v>
      </c>
    </row>
    <row r="148" spans="1:5">
      <c r="A148" s="10" t="s">
        <v>22</v>
      </c>
      <c r="B148" s="6" t="s">
        <v>19</v>
      </c>
      <c r="C148">
        <v>2025</v>
      </c>
      <c r="D148" s="11">
        <v>2000</v>
      </c>
      <c r="E148" s="14">
        <f>SUM(D148:D151)</f>
        <v>2190</v>
      </c>
    </row>
    <row r="149" spans="1:5">
      <c r="A149" s="10"/>
      <c r="B149" s="6" t="s">
        <v>20</v>
      </c>
      <c r="C149">
        <v>2025</v>
      </c>
      <c r="D149" s="11">
        <v>-310</v>
      </c>
    </row>
    <row r="150" spans="1:5">
      <c r="A150" s="10"/>
      <c r="B150" s="6" t="s">
        <v>21</v>
      </c>
      <c r="C150">
        <v>2025</v>
      </c>
      <c r="D150" s="11">
        <v>340</v>
      </c>
    </row>
    <row r="151" spans="1:5">
      <c r="A151" s="10"/>
      <c r="B151" s="6" t="s">
        <v>30</v>
      </c>
      <c r="C151">
        <v>2025</v>
      </c>
      <c r="D151" s="11">
        <v>160</v>
      </c>
    </row>
    <row r="152" spans="1:5">
      <c r="A152" s="2" t="s">
        <v>25</v>
      </c>
      <c r="B152" s="1" t="s">
        <v>23</v>
      </c>
      <c r="C152">
        <v>2025</v>
      </c>
      <c r="D152" s="11">
        <v>920</v>
      </c>
      <c r="E152" s="14">
        <f>D152</f>
        <v>920</v>
      </c>
    </row>
    <row r="153" spans="1:5">
      <c r="A153" s="7" t="s">
        <v>26</v>
      </c>
      <c r="B153" s="8" t="s">
        <v>24</v>
      </c>
      <c r="C153">
        <v>2025</v>
      </c>
      <c r="D153" s="11">
        <v>200</v>
      </c>
      <c r="E153" s="14">
        <f>D153</f>
        <v>200</v>
      </c>
    </row>
    <row r="155" spans="1:5">
      <c r="A155" s="9" t="s">
        <v>31</v>
      </c>
    </row>
  </sheetData>
  <mergeCells count="32">
    <mergeCell ref="A3:A6"/>
    <mergeCell ref="A7:A8"/>
    <mergeCell ref="A9:A14"/>
    <mergeCell ref="A15:A18"/>
    <mergeCell ref="A22:A25"/>
    <mergeCell ref="A26:A27"/>
    <mergeCell ref="A28:A33"/>
    <mergeCell ref="A85:A90"/>
    <mergeCell ref="A91:A94"/>
    <mergeCell ref="A53:A56"/>
    <mergeCell ref="A72:A75"/>
    <mergeCell ref="A34:A37"/>
    <mergeCell ref="A60:A63"/>
    <mergeCell ref="A64:A65"/>
    <mergeCell ref="A66:A71"/>
    <mergeCell ref="A79:A82"/>
    <mergeCell ref="A83:A84"/>
    <mergeCell ref="A41:A44"/>
    <mergeCell ref="A45:A46"/>
    <mergeCell ref="A47:A52"/>
    <mergeCell ref="A148:A151"/>
    <mergeCell ref="A98:A101"/>
    <mergeCell ref="A102:A103"/>
    <mergeCell ref="A104:A109"/>
    <mergeCell ref="A110:A113"/>
    <mergeCell ref="A117:A120"/>
    <mergeCell ref="A121:A122"/>
    <mergeCell ref="A123:A128"/>
    <mergeCell ref="A129:A132"/>
    <mergeCell ref="A136:A139"/>
    <mergeCell ref="A140:A141"/>
    <mergeCell ref="A142:A147"/>
  </mergeCells>
  <hyperlinks>
    <hyperlink ref="A155" r:id="rId1" xr:uid="{3FA2859E-858E-44DD-A748-9B8797133D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Li</dc:creator>
  <cp:lastModifiedBy>Yi Li</cp:lastModifiedBy>
  <dcterms:created xsi:type="dcterms:W3CDTF">2025-11-11T21:52:00Z</dcterms:created>
  <dcterms:modified xsi:type="dcterms:W3CDTF">2025-12-02T00:01:32Z</dcterms:modified>
</cp:coreProperties>
</file>